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รายการแก้ไข" sheetId="1" state="visible" r:id="rId3"/>
    <sheet name="สรุป" sheetId="2" state="visible" r:id="rId4"/>
    <sheet name="ขั้นตอนถัดไป" sheetId="3" state="visible" r:id="rId5"/>
  </sheets>
  <definedNames>
    <definedName function="false" hidden="true" localSheetId="0" name="_xlnm._FilterDatabase" vbProcedure="false">รายการแก้ไข!$A$4:$K$22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<sst xmlns="http://schemas.openxmlformats.org/spreadsheetml/2006/main" count="201" uniqueCount="122">
  <si>
    <t xml:space="preserve">รายการแก้บั๊กจากรอบทดสอบ UI ครั้งที่ 1 — branch fix/qa-round1</t>
  </si>
  <si>
    <t xml:space="preserve">ช่องสีเหลือง (ผลทดสอบซ้ำ, ผู้ทดสอบ, หมายเหตุ) ให้ผู้ทดสอบกรอกหลังรีสตาร์ตเซิร์ฟเวอร์ — เลือกผล: ผ่าน / ไม่ผ่าน / ยังไม่ทดสอบ</t>
  </si>
  <si>
    <t xml:space="preserve">ข้อ</t>
  </si>
  <si>
    <t xml:space="preserve">ระดับ</t>
  </si>
  <si>
    <t xml:space="preserve">ปัญหา</t>
  </si>
  <si>
    <t xml:space="preserve">สิ่งที่แก้</t>
  </si>
  <si>
    <t xml:space="preserve">ไฟล์ที่แก้</t>
  </si>
  <si>
    <t xml:space="preserve">Commit</t>
  </si>
  <si>
    <t xml:space="preserve">สถานะ</t>
  </si>
  <si>
    <t xml:space="preserve">ต้องทำเพิ่ม</t>
  </si>
  <si>
    <t xml:space="preserve">ผลทดสอบซ้ำ</t>
  </si>
  <si>
    <t xml:space="preserve">ผู้ทดสอบ</t>
  </si>
  <si>
    <t xml:space="preserve">หมายเหตุ</t>
  </si>
  <si>
    <t xml:space="preserve">P1</t>
  </si>
  <si>
    <t xml:space="preserve">สูง</t>
  </si>
  <si>
    <t xml:space="preserve">ยื่นใบลาไม่ได้ (เลขที่ซ้ำ 23505)</t>
  </si>
  <si>
    <t xml:space="preserve">สร้างเลขที่ใบลาจาก Id หลังบันทึก (LR-YYYYMM-Id) แทน COUNT+1</t>
  </si>
  <si>
    <t xml:space="preserve">LeaveRequestService.cs</t>
  </si>
  <si>
    <t xml:space="preserve">3a62639</t>
  </si>
  <si>
    <t xml:space="preserve">แก้แล้ว</t>
  </si>
  <si>
    <t xml:space="preserve">รีสตาร์ต backend</t>
  </si>
  <si>
    <t xml:space="preserve">ยังไม่ทดสอบ</t>
  </si>
  <si>
    <t xml:space="preserve">หน้าเว็บแสดง error ดิบของฐานข้อมูล</t>
  </si>
  <si>
    <t xml:space="preserve">ไม่ส่งข้อความ exception ของ DB ใน response (ดูใน log ของ backend แทน)</t>
  </si>
  <si>
    <t xml:space="preserve">LeaveRequestsController.cs, ExceptionHandlingMiddleware.cs</t>
  </si>
  <si>
    <t xml:space="preserve">P2-7</t>
  </si>
  <si>
    <t xml:space="preserve">กลาง</t>
  </si>
  <si>
    <t xml:space="preserve">API ช้า / timeout (my-summary 9–10 วินาที)</t>
  </si>
  <si>
    <t xml:space="preserve">ปรับ connection pool (Min 2 / Max 20 / Idle 300s / Keepalive 30) และซิงค์สิทธิ์ลาตอนอ่านไม่เกิน 1 ครั้ง/5 นาที</t>
  </si>
  <si>
    <t xml:space="preserve">appsettings*.json, LeaveBalanceService.cs</t>
  </si>
  <si>
    <t xml:space="preserve">รีสตาร์ต backend แล้ววัดเวลาใหม่</t>
  </si>
  <si>
    <t xml:space="preserve">P2-5</t>
  </si>
  <si>
    <t xml:space="preserve">แดชบอร์ดโชว์ลาพักร้อน 0/6 ก่อนข้อมูลจริง</t>
  </si>
  <si>
    <t xml:space="preserve">แสดง – ระหว่างโหลด แทนค่าตายตัว</t>
  </si>
  <si>
    <t xml:space="preserve">EmployeeStatCards.tsx</t>
  </si>
  <si>
    <t xml:space="preserve">P2-3</t>
  </si>
  <si>
    <t xml:space="preserve">ข้อความ timeout ของ GET บอกว่า 'ข้อมูลอาจถูกบันทึกแล้ว'</t>
  </si>
  <si>
    <t xml:space="preserve">แยกข้อความ timeout ของการอ่านข้อมูลกับการบันทึก</t>
  </si>
  <si>
    <t xml:space="preserve">api-client.ts</t>
  </si>
  <si>
    <t xml:space="preserve">P2-1</t>
  </si>
  <si>
    <t xml:space="preserve">บัญชีทดสอบ 4 จาก 6 ล็อกอินไม่ได้</t>
  </si>
  <si>
    <t xml:space="preserve">เหลือเฉพาะบัญชีที่มีจริง (admin, hr) + ใช้ข้อความตรวจสอบภาษาไทย (noValidate)</t>
  </si>
  <si>
    <t xml:space="preserve">login/page.tsx</t>
  </si>
  <si>
    <t xml:space="preserve">4505987</t>
  </si>
  <si>
    <t xml:space="preserve">P2-2</t>
  </si>
  <si>
    <t xml:space="preserve">หน้าเงินเดือนแสดงตัวเลขตายตัว</t>
  </si>
  <si>
    <t xml:space="preserve">เอา 1,842,300 / 118/145 / 29 ส.ค. 2569 ออก แสดง - เมื่อไม่มีข้อมูล; วันที่ตามรอบจริง; ฟอร์มรอบใหม่เริ่มเดือนปัจจุบัน</t>
  </si>
  <si>
    <t xml:space="preserve">payroll/page.tsx</t>
  </si>
  <si>
    <t xml:space="preserve">หน้าพนักงาน timeout ทับข้อมูล + ขึ้น 'ไม่พบข้อมูล'</t>
  </si>
  <si>
    <t xml:space="preserve">กันผลคำขอซ้ำเขียนทับ, แยก timeout กับ 404, ปุ่มลองใหม่; โปรไฟล์ไม่เดาเป็นพนักงานรหัส 1</t>
  </si>
  <si>
    <t xml:space="preserve">employees/[id]/page.tsx, profile/page.tsx</t>
  </si>
  <si>
    <t xml:space="preserve">P2-4</t>
  </si>
  <si>
    <t xml:space="preserve">ที่อยู่ผิดช่อง + แสดง CURRENT</t>
  </si>
  <si>
    <t xml:space="preserve">แปลงประเภทที่อยู่เป็นภาษาไทย; สคริปต์ SQL แยกที่อยู่</t>
  </si>
  <si>
    <t xml:space="preserve">EmployeeDetailView.tsx, fix_qa_round1_data.sql</t>
  </si>
  <si>
    <t xml:space="preserve">รอรันสคริปต์</t>
  </si>
  <si>
    <t xml:space="preserve">รัน SQL ใน Supabase</t>
  </si>
  <si>
    <t xml:space="preserve">P2-6</t>
  </si>
  <si>
    <t xml:space="preserve">ตัวเลขบนแท็บข้อมูลหลักเป็น (0)</t>
  </si>
  <si>
    <t xml:space="preserve">โหลดจำนวนทุกแท็บตั้งแต่เปิดหน้า</t>
  </si>
  <si>
    <t xml:space="preserve">master/page.tsx</t>
  </si>
  <si>
    <t xml:space="preserve">P3-1</t>
  </si>
  <si>
    <t xml:space="preserve">ต่ำ</t>
  </si>
  <si>
    <t xml:space="preserve">แถบ error ฟอร์มลาค้าง / แจ้งทีละข้อ</t>
  </si>
  <si>
    <t xml:space="preserve">ล้าง error เมื่อแก้ฟอร์ม และแจ้งทุกช่องที่ขาดพร้อมกัน</t>
  </si>
  <si>
    <t xml:space="preserve">MyLeaveRequestForm.tsx</t>
  </si>
  <si>
    <t xml:space="preserve">P3-2</t>
  </si>
  <si>
    <t xml:space="preserve">ข้อความตรวจสอบภาษาอังกฤษของเบราว์เซอร์ (หน้า login)</t>
  </si>
  <si>
    <t xml:space="preserve">ใส่ noValidate ใช้ข้อความไทยของแอป</t>
  </si>
  <si>
    <t xml:space="preserve">P3-3</t>
  </si>
  <si>
    <t xml:space="preserve">เลขหนังสือรับรองไม่ตรงกัน (CERT-4 / CERT-0004)</t>
  </si>
  <si>
    <t xml:space="preserve">ใช้ CERT-0004 ทุกหน้า</t>
  </si>
  <si>
    <t xml:space="preserve">documents/history/page.tsx</t>
  </si>
  <si>
    <t xml:space="preserve">P3-4</t>
  </si>
  <si>
    <t xml:space="preserve">'ตำแหน่ง ตำแหน่ง...' ในหนังสือรับรอง</t>
  </si>
  <si>
    <t xml:space="preserve">ตัดคำว่า ตำแหน่ง ที่ซ้ำ (หน้าเว็บ + backend); สคริปต์ SQL แก้ชื่อตำแหน่ง</t>
  </si>
  <si>
    <t xml:space="preserve">CertificatePreviewModal.tsx, CertificateService.cs, fix_qa_round1_data.sql</t>
  </si>
  <si>
    <t xml:space="preserve">P3-5</t>
  </si>
  <si>
    <t xml:space="preserve">ไม่เว้นวรรคหลัง 'เพื่อ' / หัวคอลัมน์ 'วันที่ลา'</t>
  </si>
  <si>
    <t xml:space="preserve">เว้นวรรคหลัง เพื่อ; หัวคอลัมน์เป็น 'วันที่ลา / รายละเอียด'</t>
  </si>
  <si>
    <t xml:space="preserve">CertificatePreviewModal.tsx, documents/history/page.tsx</t>
  </si>
  <si>
    <t xml:space="preserve">P3-7</t>
  </si>
  <si>
    <t xml:space="preserve">คำนำหน้าไม่ตรงกับเพศ (EMP0001)</t>
  </si>
  <si>
    <t xml:space="preserve">สคริปต์ SQL แสดงรายการที่ไม่ตรง และแก้ EMP0001 เป็น 'นาย'</t>
  </si>
  <si>
    <t xml:space="preserve">fix_qa_round1_data.sql</t>
  </si>
  <si>
    <t xml:space="preserve">ตรวจว่าแก้คำนำหน้าหรือเพศ แล้วรัน SQL</t>
  </si>
  <si>
    <t xml:space="preserve">P3-6</t>
  </si>
  <si>
    <t xml:space="preserve">/master เปิดได้ก่อนขึ้นหน้าไม่มีสิทธิ์</t>
  </si>
  <si>
    <t xml:space="preserve">ยังไม่แก้: มีตัวกันสิทธิ์อยู่แล้ว API อ่านต้องเปิดให้ dropdown ใช้ ความเสี่ยงต่ำ</t>
  </si>
  <si>
    <t xml:space="preserve">—</t>
  </si>
  <si>
    <t xml:space="preserve">ยังไม่แก้</t>
  </si>
  <si>
    <t xml:space="preserve">ความปลอดภัย</t>
  </si>
  <si>
    <t xml:space="preserve">รหัสผ่านบนหน้า login / รหัสผ่าน hardcode / seed-passwords ไม่ต้องล็อกอิน</t>
  </si>
  <si>
    <t xml:space="preserve">ยังไม่แก้ตามที่สั่งให้รอไว้ก่อน</t>
  </si>
  <si>
    <t xml:space="preserve">login/page.tsx, AuthService.cs, AuthController.cs</t>
  </si>
  <si>
    <t xml:space="preserve">ต้องแก้ก่อนขึ้นใช้งานจริง</t>
  </si>
  <si>
    <t xml:space="preserve">สรุปสถานะ</t>
  </si>
  <si>
    <t xml:space="preserve">สถานะการแก้ไข</t>
  </si>
  <si>
    <t xml:space="preserve">รวม</t>
  </si>
  <si>
    <t xml:space="preserve">ผ่าน</t>
  </si>
  <si>
    <t xml:space="preserve">ไม่ผ่าน</t>
  </si>
  <si>
    <t xml:space="preserve">% ผ่าน (จากที่แก้แล้ว+รอสคริปต์)</t>
  </si>
  <si>
    <t xml:space="preserve">ตามระดับ (ยังไม่แก้ / รอสคริปต์)</t>
  </si>
  <si>
    <t xml:space="preserve">ขั้นตอนถัดไป</t>
  </si>
  <si>
    <t xml:space="preserve">ลำดับ</t>
  </si>
  <si>
    <t xml:space="preserve">สิ่งที่ต้องทำ</t>
  </si>
  <si>
    <t xml:space="preserve">ผู้รับผิดชอบ</t>
  </si>
  <si>
    <t xml:space="preserve">1</t>
  </si>
  <si>
    <t xml:space="preserve">หยุดและเปิดเซิร์ฟเวอร์ใหม่ด้วย local server.bat ([4] แล้ว [1]) ให้ backend build โค้ดใหม่</t>
  </si>
  <si>
    <t xml:space="preserve">ผู้ใช้</t>
  </si>
  <si>
    <t xml:space="preserve">2</t>
  </si>
  <si>
    <t xml:space="preserve">ถ้า build ไม่ผ่าน ส่ง error ให้ Claude ตรวจ</t>
  </si>
  <si>
    <t xml:space="preserve">3</t>
  </si>
  <si>
    <t xml:space="preserve">รัน backend/scripts/fix_qa_round1_data.sql ใน Supabase (รัน SELECT ดูก่อน แล้วค่อย UPDATE)</t>
  </si>
  <si>
    <t xml:space="preserve">4</t>
  </si>
  <si>
    <t xml:space="preserve">ทดสอบซ้ำใน Chrome: ยื่นใบลา, วัดเวลา my-summary, เปิดทุกหน้าที่แก้</t>
  </si>
  <si>
    <t xml:space="preserve">Claude</t>
  </si>
  <si>
    <t xml:space="preserve">5</t>
  </si>
  <si>
    <t xml:space="preserve">กรอกคอลัมน์ 'ผลทดสอบซ้ำ' ในแท็บรายการแก้ไข</t>
  </si>
  <si>
    <t xml:space="preserve">6</t>
  </si>
  <si>
    <t xml:space="preserve">merge fix/qa-round1 เข้า master เมื่อผ่าน (ต้องสั่ง)</t>
  </si>
  <si>
    <t xml:space="preserve">ผู้ใช้สั่ง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</si>
</sst>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046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046"/>
        <bgColor rgb="FF333333"/>
      </patternFill>
    </fill>
    <fill>
      <patternFill patternType="solid">
        <fgColor rgb="FFFFF59D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B20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59D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A7F3D0"/>
        </patternFill>
      </fill>
    </dxf>
    <dxf>
      <fill>
        <patternFill>
          <bgColor rgb="FFFC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A7F3D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59D"/>
      <rgbColor rgb="FF99CCFF"/>
      <rgbColor rgb="FFFCA5A5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20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3.85" hidden="false" customHeight="false" outlineLevel="0" collapsed="false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5" t="s">
        <v>21</v>
      </c>
      <c r="J5" s="5"/>
      <c r="K5" s="5"/>
    </row>
    <row r="6" customFormat="false" ht="23.85" hidden="false" customHeight="false" outlineLevel="0" collapsed="false">
      <c r="A6" s="4" t="s">
        <v>13</v>
      </c>
      <c r="B6" s="4" t="s">
        <v>14</v>
      </c>
      <c r="C6" s="4" t="s">
        <v>22</v>
      </c>
      <c r="D6" s="4" t="s">
        <v>23</v>
      </c>
      <c r="E6" s="4" t="s">
        <v>24</v>
      </c>
      <c r="F6" s="4" t="s">
        <v>18</v>
      </c>
      <c r="G6" s="4" t="s">
        <v>19</v>
      </c>
      <c r="H6" s="4" t="s">
        <v>20</v>
      </c>
      <c r="I6" s="5" t="s">
        <v>21</v>
      </c>
      <c r="J6" s="5"/>
      <c r="K6" s="5"/>
    </row>
    <row r="7" customFormat="false" ht="23.85" hidden="false" customHeight="fals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18</v>
      </c>
      <c r="G7" s="4" t="s">
        <v>19</v>
      </c>
      <c r="H7" s="4" t="s">
        <v>30</v>
      </c>
      <c r="I7" s="5" t="s">
        <v>21</v>
      </c>
      <c r="J7" s="5"/>
      <c r="K7" s="5"/>
    </row>
    <row r="8" customFormat="false" ht="15" hidden="false" customHeight="false" outlineLevel="0" collapsed="false">
      <c r="A8" s="4" t="s">
        <v>31</v>
      </c>
      <c r="B8" s="4" t="s">
        <v>26</v>
      </c>
      <c r="C8" s="4" t="s">
        <v>32</v>
      </c>
      <c r="D8" s="4" t="s">
        <v>33</v>
      </c>
      <c r="E8" s="4" t="s">
        <v>34</v>
      </c>
      <c r="F8" s="4" t="s">
        <v>18</v>
      </c>
      <c r="G8" s="4" t="s">
        <v>19</v>
      </c>
      <c r="H8" s="4"/>
      <c r="I8" s="5" t="s">
        <v>21</v>
      </c>
      <c r="J8" s="5"/>
      <c r="K8" s="5"/>
    </row>
    <row r="9" customFormat="false" ht="23.85" hidden="false" customHeight="false" outlineLevel="0" collapsed="false">
      <c r="A9" s="4" t="s">
        <v>35</v>
      </c>
      <c r="B9" s="4" t="s">
        <v>26</v>
      </c>
      <c r="C9" s="4" t="s">
        <v>36</v>
      </c>
      <c r="D9" s="4" t="s">
        <v>37</v>
      </c>
      <c r="E9" s="4" t="s">
        <v>38</v>
      </c>
      <c r="F9" s="4" t="s">
        <v>18</v>
      </c>
      <c r="G9" s="4" t="s">
        <v>19</v>
      </c>
      <c r="H9" s="4"/>
      <c r="I9" s="5" t="s">
        <v>21</v>
      </c>
      <c r="J9" s="5"/>
      <c r="K9" s="5"/>
    </row>
    <row r="10" customFormat="false" ht="23.85" hidden="false" customHeight="false" outlineLevel="0" collapsed="false">
      <c r="A10" s="4" t="s">
        <v>39</v>
      </c>
      <c r="B10" s="4" t="s">
        <v>26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19</v>
      </c>
      <c r="H10" s="4"/>
      <c r="I10" s="5" t="s">
        <v>21</v>
      </c>
      <c r="J10" s="5"/>
      <c r="K10" s="5"/>
    </row>
    <row r="11" customFormat="false" ht="23.85" hidden="false" customHeight="false" outlineLevel="0" collapsed="false">
      <c r="A11" s="4" t="s">
        <v>44</v>
      </c>
      <c r="B11" s="4" t="s">
        <v>26</v>
      </c>
      <c r="C11" s="4" t="s">
        <v>45</v>
      </c>
      <c r="D11" s="4" t="s">
        <v>46</v>
      </c>
      <c r="E11" s="4" t="s">
        <v>47</v>
      </c>
      <c r="F11" s="4" t="s">
        <v>43</v>
      </c>
      <c r="G11" s="4" t="s">
        <v>19</v>
      </c>
      <c r="H11" s="4"/>
      <c r="I11" s="5" t="s">
        <v>21</v>
      </c>
      <c r="J11" s="5"/>
      <c r="K11" s="5"/>
    </row>
    <row r="12" customFormat="false" ht="23.85" hidden="false" customHeight="false" outlineLevel="0" collapsed="false">
      <c r="A12" s="4" t="s">
        <v>35</v>
      </c>
      <c r="B12" s="4" t="s">
        <v>26</v>
      </c>
      <c r="C12" s="4" t="s">
        <v>48</v>
      </c>
      <c r="D12" s="4" t="s">
        <v>49</v>
      </c>
      <c r="E12" s="4" t="s">
        <v>50</v>
      </c>
      <c r="F12" s="4" t="s">
        <v>43</v>
      </c>
      <c r="G12" s="4" t="s">
        <v>19</v>
      </c>
      <c r="H12" s="4"/>
      <c r="I12" s="5" t="s">
        <v>21</v>
      </c>
      <c r="J12" s="5"/>
      <c r="K12" s="5"/>
    </row>
    <row r="13" customFormat="false" ht="23.85" hidden="false" customHeight="false" outlineLevel="0" collapsed="false">
      <c r="A13" s="4" t="s">
        <v>51</v>
      </c>
      <c r="B13" s="4" t="s">
        <v>26</v>
      </c>
      <c r="C13" s="4" t="s">
        <v>52</v>
      </c>
      <c r="D13" s="4" t="s">
        <v>53</v>
      </c>
      <c r="E13" s="4" t="s">
        <v>54</v>
      </c>
      <c r="F13" s="4" t="s">
        <v>43</v>
      </c>
      <c r="G13" s="4" t="s">
        <v>55</v>
      </c>
      <c r="H13" s="4" t="s">
        <v>56</v>
      </c>
      <c r="I13" s="5" t="s">
        <v>21</v>
      </c>
      <c r="J13" s="5"/>
      <c r="K13" s="5"/>
    </row>
    <row r="14" customFormat="false" ht="15" hidden="false" customHeight="false" outlineLevel="0" collapsed="false">
      <c r="A14" s="4" t="s">
        <v>57</v>
      </c>
      <c r="B14" s="4" t="s">
        <v>26</v>
      </c>
      <c r="C14" s="4" t="s">
        <v>58</v>
      </c>
      <c r="D14" s="4" t="s">
        <v>59</v>
      </c>
      <c r="E14" s="4" t="s">
        <v>60</v>
      </c>
      <c r="F14" s="4" t="s">
        <v>43</v>
      </c>
      <c r="G14" s="4" t="s">
        <v>19</v>
      </c>
      <c r="H14" s="4"/>
      <c r="I14" s="5" t="s">
        <v>21</v>
      </c>
      <c r="J14" s="5"/>
      <c r="K14" s="5"/>
    </row>
    <row r="15" customFormat="false" ht="15" hidden="false" customHeight="false" outlineLevel="0" collapsed="false">
      <c r="A15" s="4" t="s">
        <v>61</v>
      </c>
      <c r="B15" s="4" t="s">
        <v>62</v>
      </c>
      <c r="C15" s="4" t="s">
        <v>63</v>
      </c>
      <c r="D15" s="4" t="s">
        <v>64</v>
      </c>
      <c r="E15" s="4" t="s">
        <v>65</v>
      </c>
      <c r="F15" s="4" t="s">
        <v>43</v>
      </c>
      <c r="G15" s="4" t="s">
        <v>19</v>
      </c>
      <c r="H15" s="4"/>
      <c r="I15" s="5" t="s">
        <v>21</v>
      </c>
      <c r="J15" s="5"/>
      <c r="K15" s="5"/>
    </row>
    <row r="16" customFormat="false" ht="23.85" hidden="false" customHeight="false" outlineLevel="0" collapsed="false">
      <c r="A16" s="4" t="s">
        <v>66</v>
      </c>
      <c r="B16" s="4" t="s">
        <v>62</v>
      </c>
      <c r="C16" s="4" t="s">
        <v>67</v>
      </c>
      <c r="D16" s="4" t="s">
        <v>68</v>
      </c>
      <c r="E16" s="4" t="s">
        <v>42</v>
      </c>
      <c r="F16" s="4" t="s">
        <v>43</v>
      </c>
      <c r="G16" s="4" t="s">
        <v>19</v>
      </c>
      <c r="H16" s="4"/>
      <c r="I16" s="5" t="s">
        <v>21</v>
      </c>
      <c r="J16" s="5"/>
      <c r="K16" s="5"/>
    </row>
    <row r="17" customFormat="false" ht="23.85" hidden="false" customHeight="false" outlineLevel="0" collapsed="false">
      <c r="A17" s="4" t="s">
        <v>69</v>
      </c>
      <c r="B17" s="4" t="s">
        <v>62</v>
      </c>
      <c r="C17" s="4" t="s">
        <v>70</v>
      </c>
      <c r="D17" s="4" t="s">
        <v>71</v>
      </c>
      <c r="E17" s="4" t="s">
        <v>72</v>
      </c>
      <c r="F17" s="4" t="s">
        <v>43</v>
      </c>
      <c r="G17" s="4" t="s">
        <v>19</v>
      </c>
      <c r="H17" s="4"/>
      <c r="I17" s="5" t="s">
        <v>21</v>
      </c>
      <c r="J17" s="5"/>
      <c r="K17" s="5"/>
    </row>
    <row r="18" customFormat="false" ht="35.05" hidden="false" customHeight="false" outlineLevel="0" collapsed="false">
      <c r="A18" s="4" t="s">
        <v>73</v>
      </c>
      <c r="B18" s="4" t="s">
        <v>62</v>
      </c>
      <c r="C18" s="4" t="s">
        <v>74</v>
      </c>
      <c r="D18" s="4" t="s">
        <v>75</v>
      </c>
      <c r="E18" s="4" t="s">
        <v>76</v>
      </c>
      <c r="F18" s="4" t="s">
        <v>43</v>
      </c>
      <c r="G18" s="4" t="s">
        <v>55</v>
      </c>
      <c r="H18" s="4" t="s">
        <v>56</v>
      </c>
      <c r="I18" s="5" t="s">
        <v>21</v>
      </c>
      <c r="J18" s="5"/>
      <c r="K18" s="5"/>
    </row>
    <row r="19" customFormat="false" ht="23.85" hidden="false" customHeight="false" outlineLevel="0" collapsed="false">
      <c r="A19" s="4" t="s">
        <v>77</v>
      </c>
      <c r="B19" s="4" t="s">
        <v>62</v>
      </c>
      <c r="C19" s="4" t="s">
        <v>78</v>
      </c>
      <c r="D19" s="4" t="s">
        <v>79</v>
      </c>
      <c r="E19" s="4" t="s">
        <v>80</v>
      </c>
      <c r="F19" s="4" t="s">
        <v>43</v>
      </c>
      <c r="G19" s="4" t="s">
        <v>19</v>
      </c>
      <c r="H19" s="4"/>
      <c r="I19" s="5" t="s">
        <v>21</v>
      </c>
      <c r="J19" s="5"/>
      <c r="K19" s="5"/>
    </row>
    <row r="20" customFormat="false" ht="23.85" hidden="false" customHeight="false" outlineLevel="0" collapsed="false">
      <c r="A20" s="4" t="s">
        <v>81</v>
      </c>
      <c r="B20" s="4" t="s">
        <v>62</v>
      </c>
      <c r="C20" s="4" t="s">
        <v>82</v>
      </c>
      <c r="D20" s="4" t="s">
        <v>83</v>
      </c>
      <c r="E20" s="4" t="s">
        <v>84</v>
      </c>
      <c r="F20" s="4" t="s">
        <v>43</v>
      </c>
      <c r="G20" s="4" t="s">
        <v>55</v>
      </c>
      <c r="H20" s="4" t="s">
        <v>85</v>
      </c>
      <c r="I20" s="5" t="s">
        <v>21</v>
      </c>
      <c r="J20" s="5"/>
      <c r="K20" s="5"/>
    </row>
    <row r="21" customFormat="false" ht="23.85" hidden="false" customHeight="false" outlineLevel="0" collapsed="false">
      <c r="A21" s="4" t="s">
        <v>86</v>
      </c>
      <c r="B21" s="4" t="s">
        <v>62</v>
      </c>
      <c r="C21" s="4" t="s">
        <v>87</v>
      </c>
      <c r="D21" s="4" t="s">
        <v>88</v>
      </c>
      <c r="E21" s="4" t="s">
        <v>89</v>
      </c>
      <c r="F21" s="4" t="s">
        <v>89</v>
      </c>
      <c r="G21" s="4" t="s">
        <v>90</v>
      </c>
      <c r="H21" s="4"/>
      <c r="I21" s="5" t="s">
        <v>21</v>
      </c>
      <c r="J21" s="5"/>
      <c r="K21" s="5"/>
    </row>
    <row r="22" customFormat="false" ht="23.85" hidden="false" customHeight="false" outlineLevel="0" collapsed="false">
      <c r="A22" s="4" t="s">
        <v>91</v>
      </c>
      <c r="B22" s="4" t="s">
        <v>14</v>
      </c>
      <c r="C22" s="4" t="s">
        <v>92</v>
      </c>
      <c r="D22" s="4" t="s">
        <v>93</v>
      </c>
      <c r="E22" s="4" t="s">
        <v>94</v>
      </c>
      <c r="F22" s="4" t="s">
        <v>89</v>
      </c>
      <c r="G22" s="4" t="s">
        <v>90</v>
      </c>
      <c r="H22" s="4" t="s">
        <v>95</v>
      </c>
      <c r="I22" s="5" t="s">
        <v>21</v>
      </c>
      <c r="J22" s="5"/>
      <c r="K22" s="5"/>
    </row>
  </sheetData>
  <autoFilter ref="A4:K22"/>
  <conditionalFormatting sqref="G5:G22">
    <cfRule type="cellIs" priority="2" operator="equal" aboveAverage="0" equalAverage="0" bottom="0" percent="0" rank="0" text="" dxfId="7">
      <formula>"แก้แล้ว"</formula>
    </cfRule>
    <cfRule type="cellIs" priority="3" operator="equal" aboveAverage="0" equalAverage="0" bottom="0" percent="0" rank="0" text="" dxfId="8">
      <formula>"รอรันสคริปต์"</formula>
    </cfRule>
    <cfRule type="cellIs" priority="4" operator="equal" aboveAverage="0" equalAverage="0" bottom="0" percent="0" rank="0" text="" dxfId="9">
      <formula>"ยังไม่แก้"</formula>
    </cfRule>
  </conditionalFormatting>
  <conditionalFormatting sqref="I5:I22">
    <cfRule type="cellIs" priority="5" operator="equal" aboveAverage="0" equalAverage="0" bottom="0" percent="0" rank="0" text="" dxfId="10">
      <formula>"ผ่าน"</formula>
    </cfRule>
    <cfRule type="cellIs" priority="6" operator="equal" aboveAverage="0" equalAverage="0" bottom="0" percent="0" rank="0" text="" dxfId="11">
      <formula>"ไม่ผ่าน"</formula>
    </cfRule>
  </conditionalFormatting>
  <dataValidations count="2">
    <dataValidation allowBlank="true" errorStyle="stop" operator="between" showDropDown="false" showErrorMessage="false" showInputMessage="false" sqref="I5:I22" type="list">
      <formula1>"ผ่าน,ไม่ผ่าน,ยังไม่ทดสอบ"</formula1>
      <formula2>0</formula2>
    </dataValidation>
    <dataValidation allowBlank="false" errorStyle="stop" operator="between" showDropDown="false" showErrorMessage="false" showInputMessage="false" sqref="G5:G22" type="list">
      <formula1>"แก้แล้ว,รอรันสคริปต์,ยังไม่แก้"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6" t="s">
        <v>97</v>
      </c>
    </row>
    <row r="4" customFormat="false" ht="15" hidden="false" customHeight="false" outlineLevel="0" collapsed="false">
      <c r="A4" s="7" t="s">
        <v>19</v>
      </c>
      <c r="B4" s="7" t="n">
        <f aca="false">COUNTIF(รายการแก้ไข!G5:G22,"แก้แล้ว")</f>
        <v>13</v>
      </c>
    </row>
    <row r="5" customFormat="false" ht="15" hidden="false" customHeight="false" outlineLevel="0" collapsed="false">
      <c r="A5" s="7" t="s">
        <v>55</v>
      </c>
      <c r="B5" s="7" t="n">
        <f aca="false">COUNTIF(รายการแก้ไข!G5:G22,"รอรันสคริปต์")</f>
        <v>3</v>
      </c>
    </row>
    <row r="6" customFormat="false" ht="15" hidden="false" customHeight="false" outlineLevel="0" collapsed="false">
      <c r="A6" s="7" t="s">
        <v>90</v>
      </c>
      <c r="B6" s="7" t="n">
        <f aca="false">COUNTIF(รายการแก้ไข!G5:G22,"ยังไม่แก้")</f>
        <v>2</v>
      </c>
    </row>
    <row r="7" customFormat="false" ht="15" hidden="false" customHeight="false" outlineLevel="0" collapsed="false">
      <c r="A7" s="6" t="s">
        <v>98</v>
      </c>
      <c r="B7" s="6" t="n">
        <f aca="false">SUM(B4:B6)</f>
        <v>18</v>
      </c>
    </row>
    <row r="9" customFormat="false" ht="15" hidden="false" customHeight="false" outlineLevel="0" collapsed="false">
      <c r="A9" s="6" t="s">
        <v>10</v>
      </c>
    </row>
    <row r="10" customFormat="false" ht="15" hidden="false" customHeight="false" outlineLevel="0" collapsed="false">
      <c r="A10" s="7" t="s">
        <v>99</v>
      </c>
      <c r="B10" s="7" t="n">
        <f aca="false">COUNTIF(รายการแก้ไข!I5:I22,"ผ่าน")</f>
        <v>0</v>
      </c>
    </row>
    <row r="11" customFormat="false" ht="15" hidden="false" customHeight="false" outlineLevel="0" collapsed="false">
      <c r="A11" s="7" t="s">
        <v>100</v>
      </c>
      <c r="B11" s="7" t="n">
        <f aca="false">COUNTIF(รายการแก้ไข!I5:I22,"ไม่ผ่าน")</f>
        <v>0</v>
      </c>
    </row>
    <row r="12" customFormat="false" ht="15" hidden="false" customHeight="false" outlineLevel="0" collapsed="false">
      <c r="A12" s="7" t="s">
        <v>21</v>
      </c>
      <c r="B12" s="7" t="n">
        <f aca="false">COUNTIF(รายการแก้ไข!I5:I22,"ยังไม่ทดสอบ")</f>
        <v>18</v>
      </c>
    </row>
    <row r="13" customFormat="false" ht="15" hidden="false" customHeight="false" outlineLevel="0" collapsed="false">
      <c r="A13" s="7" t="s">
        <v>101</v>
      </c>
      <c r="B13" s="8" t="n">
        <f aca="false">IFERROR(B10/(B4+B5),0)</f>
        <v>0</v>
      </c>
    </row>
    <row r="15" customFormat="false" ht="15" hidden="false" customHeight="false" outlineLevel="0" collapsed="false">
      <c r="A15" s="6" t="s">
        <v>102</v>
      </c>
    </row>
    <row r="16" customFormat="false" ht="15" hidden="false" customHeight="false" outlineLevel="0" collapsed="false">
      <c r="A16" s="7" t="s">
        <v>14</v>
      </c>
      <c r="B16" s="7" t="n">
        <f aca="false">COUNTIFS(รายการแก้ไข!B5:B22,"สูง",รายการแก้ไข!G5:G22,"&lt;&gt;แก้แล้ว")</f>
        <v>1</v>
      </c>
    </row>
    <row r="17" customFormat="false" ht="15" hidden="false" customHeight="false" outlineLevel="0" collapsed="false">
      <c r="A17" s="7" t="s">
        <v>26</v>
      </c>
      <c r="B17" s="7" t="n">
        <f aca="false">COUNTIFS(รายการแก้ไข!B5:B22,"กลาง",รายการแก้ไข!G5:G22,"&lt;&gt;แก้แล้ว")</f>
        <v>1</v>
      </c>
    </row>
    <row r="18" customFormat="false" ht="15" hidden="false" customHeight="false" outlineLevel="0" collapsed="false">
      <c r="A18" s="7" t="s">
        <v>62</v>
      </c>
      <c r="B18" s="7" t="n">
        <f aca="false">COUNTIFS(รายการแก้ไข!B5:B22,"ต่ำ",รายการแก้ไข!G5:G22,"&lt;&gt;แก้แล้ว")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9" t="s">
        <v>104</v>
      </c>
      <c r="B3" s="9" t="s">
        <v>105</v>
      </c>
      <c r="C3" s="9" t="s">
        <v>106</v>
      </c>
    </row>
    <row r="4" customFormat="false" ht="15" hidden="false" customHeight="false" outlineLevel="0" collapsed="false">
      <c r="A4" s="4" t="s">
        <v>107</v>
      </c>
      <c r="B4" s="4" t="s">
        <v>108</v>
      </c>
      <c r="C4" s="4" t="s">
        <v>109</v>
      </c>
    </row>
    <row r="5" customFormat="false" ht="15" hidden="false" customHeight="false" outlineLevel="0" collapsed="false">
      <c r="A5" s="4" t="s">
        <v>110</v>
      </c>
      <c r="B5" s="4" t="s">
        <v>111</v>
      </c>
      <c r="C5" s="4" t="s">
        <v>109</v>
      </c>
    </row>
    <row r="6" customFormat="false" ht="15" hidden="false" customHeight="false" outlineLevel="0" collapsed="false">
      <c r="A6" s="4" t="s">
        <v>112</v>
      </c>
      <c r="B6" s="4" t="s">
        <v>113</v>
      </c>
      <c r="C6" s="4" t="s">
        <v>109</v>
      </c>
    </row>
    <row r="7" customFormat="false" ht="15" hidden="false" customHeight="false" outlineLevel="0" collapsed="false">
      <c r="A7" s="4" t="s">
        <v>114</v>
      </c>
      <c r="B7" s="4" t="s">
        <v>115</v>
      </c>
      <c r="C7" s="4" t="s">
        <v>116</v>
      </c>
    </row>
    <row r="8" customFormat="false" ht="15" hidden="false" customHeight="false" outlineLevel="0" collapsed="false">
      <c r="A8" s="4" t="s">
        <v>117</v>
      </c>
      <c r="B8" s="4" t="s">
        <v>118</v>
      </c>
      <c r="C8" s="4" t="s">
        <v>11</v>
      </c>
    </row>
    <row r="9" customFormat="false" ht="15" hidden="false" customHeight="false" outlineLevel="0" collapsed="false">
      <c r="A9" s="4" t="s">
        <v>119</v>
      </c>
      <c r="B9" s="4" t="s">
        <v>120</v>
      </c>
      <c r="C9" s="4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2026-10-07T04:56:33Z</dcterms:created>
  <dc:creator>openpyxl</dc:creator>
  <dc:description/>
  <dc:language>en-US</dc:language>
  <cp:lastModifiedBy/>
  <dcterms:modified xsi:type="dcterms:W3CDTF">2026-10-07T04:56:33Z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